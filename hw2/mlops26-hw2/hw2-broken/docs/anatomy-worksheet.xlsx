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3032a410a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75e994dbfcf44c6f"/>
    <x:sheet xmlns:r="http://schemas.openxmlformats.org/officeDocument/2006/relationships" name="Параметры" sheetId="2" r:id="R87acd910a1ce4182"/>
    <x:sheet xmlns:r="http://schemas.openxmlformats.org/officeDocument/2006/relationships" name="LoRA" sheetId="3" r:id="R1f67ed47edce454f"/>
    <x:sheet xmlns:r="http://schemas.openxmlformats.org/officeDocument/2006/relationships" name="Память" sheetId="4" r:id="Rf8e008461f334ddb"/>
    <x:sheet xmlns:r="http://schemas.openxmlformats.org/officeDocument/2006/relationships" name="Ответы" sheetId="5" r:id="R47a20d4a8474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%"/>
    <x:numFmt numFmtId="165" formatCode="#,##0.0"/>
    <x:numFmt numFmtId="166" formatCode="0.0"/>
  </x:numFmts>
  <x:fonts count="6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520e7092d4b9f" /><Relationship Type="http://schemas.openxmlformats.org/officeDocument/2006/relationships/theme" Target="/xl/theme/theme1.xml" Id="Rd8dd1fe3cf19402b" /><Relationship Type="http://schemas.openxmlformats.org/officeDocument/2006/relationships/sharedStrings" Target="/xl/sharedStrings.xml" Id="R1451077f3dc847ad" /><Relationship Type="http://schemas.openxmlformats.org/officeDocument/2006/relationships/worksheet" Target="/xl/worksheets/sheet1.xml" Id="R75e994dbfcf44c6f" /><Relationship Type="http://schemas.openxmlformats.org/officeDocument/2006/relationships/worksheet" Target="/xl/worksheets/sheet2.xml" Id="R87acd910a1ce4182" /><Relationship Type="http://schemas.openxmlformats.org/officeDocument/2006/relationships/worksheet" Target="/xl/worksheets/sheet3.xml" Id="R1f67ed47edce454f" /><Relationship Type="http://schemas.openxmlformats.org/officeDocument/2006/relationships/worksheet" Target="/xl/worksheets/sheet4.xml" Id="Rf8e008461f334ddb" /><Relationship Type="http://schemas.openxmlformats.org/officeDocument/2006/relationships/worksheet" Target="/xl/worksheets/sheet5.xml" Id="R47a20d4a847440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10" customWidth="1"/>
    <x:col min="4" max="4" width="12" customWidth="1"/>
    <x:col min="5" max="5" width="20" customWidth="1"/>
    <x:col min="6" max="6" width="18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inlineStr">
        <x:is>
          <x:t xml:space="preserve">Столбцы «строк» и «столбцов» — размеры одной матрицы. «Штук» — сколько таких модулей во всей модели.</x:t>
        </x:is>
      </x:c>
    </x:row>
    <x:row r="4" ht="30" customHeight="1">
      <x:c r="A4" s="6" t="inlineStr">
        <x:is>
          <x:t xml:space="preserve">модуль</x:t>
        </x:is>
      </x:c>
      <x:c r="B4" s="6" t="inlineStr">
        <x:is>
          <x:t xml:space="preserve">штук</x:t>
        </x:is>
      </x:c>
      <x:c r="C4" s="6" t="inlineStr">
        <x:is>
          <x:t xml:space="preserve">строк</x:t>
        </x:is>
      </x:c>
      <x:c r="D4" s="6" t="inlineStr">
        <x:is>
          <x:t xml:space="preserve">столбцов</x:t>
        </x:is>
      </x:c>
      <x:c r="E4" s="6" t="inlineStr">
        <x:is>
          <x:t xml:space="preserve">по формуле
штук × строк × столбцов</x:t>
        </x:is>
      </x:c>
      <x:c r="F4" s="6" t="inlineStr">
        <x:is>
          <x:t xml:space="preserve">по sum(p.numel())</x:t>
        </x:is>
      </x:c>
      <x:c r="G4" s="6" t="inlineStr">
        <x:is>
          <x:t xml:space="preserve">сходится?</x:t>
        </x:is>
      </x:c>
      <x:c r="H4" s="6" t="inlineStr">
        <x:is>
          <x:t xml:space="preserve">доля модели</x:t>
        </x:is>
      </x:c>
      <x:c r="I4" s="6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8" t="n">
        <x:v>1</x:v>
      </x:c>
      <x:c r="C5" s="8" t="n">
        <x:v>151936</x:v>
      </x:c>
      <x:c r="D5" s="8" t="n">
        <x:v>1024</x:v>
      </x:c>
      <x:c r="E5" s="9" t="n">
        <x:f>IF(COUNT(B5:D5)=3,B5*C5*D5,"")</x:f>
        <x:v>155582464</x:v>
      </x:c>
      <x:c r="F5" s="10" t="n">
        <x:v>155582464</x:v>
      </x:c>
      <x:c r="G5" s="11" t="str">
        <x:f>IF(E5="","—",IF(E5=F5,"сходится","РАСХОЖДЕНИЕ"))</x:f>
        <x:v>сходится</x:v>
      </x:c>
      <x:c r="H5" s="12" t="n">
        <x:f>IF($F$15=0,"",F5/$F$15)</x:f>
        <x:v>0.2610225398570643</x:v>
      </x:c>
      <x:c r="I5" s="13" t="inlineStr">
        <x:is>
          <x:t xml:space="preserve"/>
        </x:is>
      </x:c>
    </x:row>
    <x:row r="6">
      <x:c r="A6" s="7" t="inlineStr">
        <x:is>
          <x:t xml:space="preserve">q_proj</x:t>
        </x:is>
      </x:c>
      <x:c r="B6" s="8" t="n">
        <x:v>28</x:v>
      </x:c>
      <x:c r="C6" s="8" t="n">
        <x:v>2048</x:v>
      </x:c>
      <x:c r="D6" s="8" t="n">
        <x:v>1024</x:v>
      </x:c>
      <x:c r="E6" s="9" t="n">
        <x:f>IF(COUNT(B6:D6)=3,B6*C6*D6,"")</x:f>
        <x:v>58720256</x:v>
      </x:c>
      <x:c r="F6" s="10" t="n">
        <x:v>58720256</x:v>
      </x:c>
      <x:c r="G6" s="11" t="str">
        <x:f>IF(E6="","—",IF(E6=F6,"сходится","РАСХОЖДЕНИЕ"))</x:f>
        <x:v>сходится</x:v>
      </x:c>
      <x:c r="H6" s="12" t="n">
        <x:f>IF($F$15=0,"",F6/$F$15)</x:f>
        <x:v>0.09851566794942276</x:v>
      </x:c>
      <x:c r="I6" s="13" t="inlineStr">
        <x:is>
          <x:t xml:space="preserve"/>
        </x:is>
      </x:c>
    </x:row>
    <x:row r="7">
      <x:c r="A7" s="7" t="inlineStr">
        <x:is>
          <x:t xml:space="preserve">k_proj</x:t>
        </x:is>
      </x:c>
      <x:c r="B7" s="8" t="n">
        <x:v>28</x:v>
      </x:c>
      <x:c r="C7" s="8" t="n">
        <x:v>1024</x:v>
      </x:c>
      <x:c r="D7" s="8" t="n">
        <x:v>1024</x:v>
      </x:c>
      <x:c r="E7" s="9" t="n">
        <x:f>IF(COUNT(B7:D7)=3,B7*C7*D7,"")</x:f>
        <x:v>29360128</x:v>
      </x:c>
      <x:c r="F7" s="10" t="n">
        <x:v>29360128</x:v>
      </x:c>
      <x:c r="G7" s="11" t="str">
        <x:f>IF(E7="","—",IF(E7=F7,"сходится","РАСХОЖДЕНИЕ"))</x:f>
        <x:v>сходится</x:v>
      </x:c>
      <x:c r="H7" s="12" t="n">
        <x:f>IF($F$15=0,"",F7/$F$15)</x:f>
        <x:v>0.04925783397471138</x:v>
      </x:c>
      <x:c r="I7" s="13" t="inlineStr">
        <x:is>
          <x:t xml:space="preserve"/>
        </x:is>
      </x:c>
    </x:row>
    <x:row r="8">
      <x:c r="A8" s="7" t="inlineStr">
        <x:is>
          <x:t xml:space="preserve">v_proj</x:t>
        </x:is>
      </x:c>
      <x:c r="B8" s="8" t="n">
        <x:v>28</x:v>
      </x:c>
      <x:c r="C8" s="8" t="n">
        <x:v>1024</x:v>
      </x:c>
      <x:c r="D8" s="8" t="n">
        <x:v>1024</x:v>
      </x:c>
      <x:c r="E8" s="9" t="n">
        <x:f>IF(COUNT(B8:D8)=3,B8*C8*D8,"")</x:f>
        <x:v>29360128</x:v>
      </x:c>
      <x:c r="F8" s="10" t="n">
        <x:v>29360128</x:v>
      </x:c>
      <x:c r="G8" s="11" t="str">
        <x:f>IF(E8="","—",IF(E8=F8,"сходится","РАСХОЖДЕНИЕ"))</x:f>
        <x:v>сходится</x:v>
      </x:c>
      <x:c r="H8" s="12" t="n">
        <x:f>IF($F$15=0,"",F8/$F$15)</x:f>
        <x:v>0.04925783397471138</x:v>
      </x:c>
      <x:c r="I8" s="13" t="inlineStr">
        <x:is>
          <x:t xml:space="preserve"/>
        </x:is>
      </x:c>
    </x:row>
    <x:row r="9">
      <x:c r="A9" s="7" t="inlineStr">
        <x:is>
          <x:t xml:space="preserve">o_proj</x:t>
        </x:is>
      </x:c>
      <x:c r="B9" s="8" t="n">
        <x:v>28</x:v>
      </x:c>
      <x:c r="C9" s="8" t="n">
        <x:v>1024</x:v>
      </x:c>
      <x:c r="D9" s="8" t="n">
        <x:v>2048</x:v>
      </x:c>
      <x:c r="E9" s="9" t="n">
        <x:f>IF(COUNT(B9:D9)=3,B9*C9*D9,"")</x:f>
        <x:v>58720256</x:v>
      </x:c>
      <x:c r="F9" s="10" t="n">
        <x:v>58720256</x:v>
      </x:c>
      <x:c r="G9" s="11" t="str">
        <x:f>IF(E9="","—",IF(E9=F9,"сходится","РАСХОЖДЕНИЕ"))</x:f>
        <x:v>сходится</x:v>
      </x:c>
      <x:c r="H9" s="12" t="n">
        <x:f>IF($F$15=0,"",F9/$F$15)</x:f>
        <x:v>0.09851566794942276</x:v>
      </x:c>
      <x:c r="I9" s="13" t="inlineStr">
        <x:is>
          <x:t xml:space="preserve"/>
        </x:is>
      </x:c>
    </x:row>
    <x:row r="10">
      <x:c r="A10" s="7" t="inlineStr">
        <x:is>
          <x:t xml:space="preserve">gate_proj</x:t>
        </x:is>
      </x:c>
      <x:c r="B10" s="8" t="n">
        <x:v>28</x:v>
      </x:c>
      <x:c r="C10" s="8" t="n">
        <x:v>3072</x:v>
      </x:c>
      <x:c r="D10" s="8" t="n">
        <x:v>1024</x:v>
      </x:c>
      <x:c r="E10" s="9" t="n">
        <x:f>IF(COUNT(B10:D10)=3,B10*C10*D10,"")</x:f>
        <x:v>88080384</x:v>
      </x:c>
      <x:c r="F10" s="10" t="n">
        <x:v>88080384</x:v>
      </x:c>
      <x:c r="G10" s="11" t="str">
        <x:f>IF(E10="","—",IF(E10=F10,"сходится","РАСХОЖДЕНИЕ"))</x:f>
        <x:v>сходится</x:v>
      </x:c>
      <x:c r="H10" s="12" t="n">
        <x:f>IF($F$15=0,"",F10/$F$15)</x:f>
        <x:v>0.14777350192413413</x:v>
      </x:c>
      <x:c r="I10" s="13" t="inlineStr">
        <x:is>
          <x:t xml:space="preserve"/>
        </x:is>
      </x:c>
    </x:row>
    <x:row r="11">
      <x:c r="A11" s="7" t="inlineStr">
        <x:is>
          <x:t xml:space="preserve">up_proj</x:t>
        </x:is>
      </x:c>
      <x:c r="B11" s="8" t="n">
        <x:v>28</x:v>
      </x:c>
      <x:c r="C11" s="8" t="n">
        <x:v>3072</x:v>
      </x:c>
      <x:c r="D11" s="8" t="n">
        <x:v>1024</x:v>
      </x:c>
      <x:c r="E11" s="9" t="n">
        <x:f>IF(COUNT(B11:D11)=3,B11*C11*D11,"")</x:f>
        <x:v>88080384</x:v>
      </x:c>
      <x:c r="F11" s="10" t="n">
        <x:v>88080384</x:v>
      </x:c>
      <x:c r="G11" s="11" t="str">
        <x:f>IF(E11="","—",IF(E11=F11,"сходится","РАСХОЖДЕНИЕ"))</x:f>
        <x:v>сходится</x:v>
      </x:c>
      <x:c r="H11" s="12" t="n">
        <x:f>IF($F$15=0,"",F11/$F$15)</x:f>
        <x:v>0.14777350192413413</x:v>
      </x:c>
      <x:c r="I11" s="13" t="inlineStr">
        <x:is>
          <x:t xml:space="preserve"/>
        </x:is>
      </x:c>
    </x:row>
    <x:row r="12">
      <x:c r="A12" s="7" t="inlineStr">
        <x:is>
          <x:t xml:space="preserve">down_proj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IF(COUNT(B12:D12)=3,B12*C12*D12,"")</x:f>
        <x:v>88080384</x:v>
      </x:c>
      <x:c r="F12" s="10" t="n">
        <x:v>88080384</x:v>
      </x:c>
      <x:c r="G12" s="11" t="str">
        <x:f>IF(E12="","—",IF(E12=F12,"сходится","РАСХОЖДЕНИЕ"))</x:f>
        <x:v>сходится</x:v>
      </x:c>
      <x:c r="H12" s="12" t="n">
        <x:f>IF($F$15=0,"",F12/$F$15)</x:f>
        <x:v>0.14777350192413413</x:v>
      </x:c>
      <x:c r="I12" s="13" t="inlineStr">
        <x:is>
          <x:t xml:space="preserve"/>
        </x:is>
      </x:c>
    </x:row>
    <x:row r="13">
      <x:c r="A13" s="7" t="inlineStr">
        <x:is>
          <x:t xml:space="preserve">norm</x:t>
        </x:is>
      </x:c>
      <x:c r="B13" s="8" t="n">
        <x:v>113</x:v>
      </x:c>
      <x:c r="C13" s="8" t="str">
        <x:v>128 и 1024</x:v>
      </x:c>
      <x:c r="D13" s="8" t="n"/>
      <x:c r="E13" s="9" t="str">
        <x:f>IF(COUNT(B13:D13)=3,B13*C13*D13,"")</x:f>
      </x:c>
      <x:c r="F13" s="10" t="n">
        <x:v>65536</x:v>
      </x:c>
      <x:c r="G13" s="11" t="str">
        <x:f>IF(E13="","—",IF(E13=F13,"сходится","РАСХОЖДЕНИЕ"))</x:f>
        <x:v>—</x:v>
      </x:c>
      <x:c r="H13" s="12" t="n">
        <x:f>IF($F$15=0,"",F13/$F$15)</x:f>
        <x:v>0.00010995052226498076</x:v>
      </x:c>
      <x:c r="I13" s="13" t="inlineStr">
        <x:is>
          <x:t xml:space="preserve">вектор, а не матрица: столбцов нет</x:t>
        </x:is>
      </x:c>
    </x:row>
    <x:row r="14">
      <x:c r="A14" s="7" t="inlineStr">
        <x:is>
          <x:t xml:space="preserve">lm_head</x:t>
        </x:is>
      </x:c>
      <x:c r="B14" s="8" t="n">
        <x:v>1</x:v>
      </x:c>
      <x:c r="C14" s="8" t="n"/>
      <x:c r="D14" s="8" t="n"/>
      <x:c r="E14" s="9" t="str">
        <x:f>IF(COUNT(B14:D14)=3,B14*C14*D14,"")</x:f>
      </x:c>
      <x:c r="F14" s="10" t="n">
        <x:v>0</x:v>
      </x:c>
      <x:c r="G14" s="11" t="str">
        <x:f>IF(E14="","—",IF(E14=F14,"сходится","РАСХОЖДЕНИЕ"))</x:f>
        <x:v>—</x:v>
      </x:c>
      <x:c r="H14" s="12" t="n">
        <x:f>IF($F$15=0,"",F14/$F$15)</x:f>
        <x:v>0</x:v>
      </x:c>
      <x:c r="I14" s="13" t="inlineStr">
        <x:is>
          <x:t xml:space="preserve">tie_word_embeddings — своих весов нет</x:t>
        </x:is>
      </x:c>
    </x:row>
    <x:row r="15">
      <x:c r="A15" s="14" t="inlineStr">
        <x:is>
          <x:t xml:space="preserve">ИТОГО</x:t>
        </x:is>
      </x:c>
      <x:c r="F15" s="15" t="n">
        <x:f>SUM(F5:F14)</x:f>
        <x:v>596049920</x:v>
      </x:c>
      <x:c r="H15" s="12" t="n">
        <x:f>IF(F15=0,"",F15/F15)</x:f>
        <x:v>1</x:v>
      </x:c>
    </x:row>
    <x:row r="17">
      <x:c r="A17" s="14" t="inlineStr">
        <x:is>
          <x:t xml:space="preserve">params_total из отчёта</x:t>
        </x:is>
      </x:c>
      <x:c r="F17" s="10" t="n">
        <x:v>596049920</x:v>
      </x:c>
    </x:row>
    <x:row r="18">
      <x:c r="A18" s="14" t="inlineStr">
        <x:is>
          <x:t xml:space="preserve">сумма сошлась?</x:t>
        </x:is>
      </x:c>
      <x:c r="F18" s="11" t="str">
        <x:f>IF(F17="","заполните",IF(F15=F17,"да, сходится","НЕ СХОДИТСЯ"))</x:f>
        <x:v>да, сходится</x:v>
      </x:c>
    </x:row>
  </x:sheetData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inlineStr">
        <x:is>
          <x:t xml:space="preserve">Параметры LoRA: своя формула против peft</x:t>
        </x:is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30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28</x:v>
      </x:c>
      <x:c r="C8" s="8" t="n">
        <x:v>1024</x:v>
      </x:c>
      <x:c r="D8" s="8" t="n">
        <x:v>2048</x:v>
      </x:c>
      <x:c r="E8" s="9" t="n">
        <x:f>IF(OR(F8&lt;&gt;"да",COUNT(B8:D8)&lt;3),0,$B$4*(C8+D8)*B8)</x:f>
        <x:v>688128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28</x:v>
      </x:c>
      <x:c r="C9" s="8" t="n">
        <x:v>1024</x:v>
      </x:c>
      <x:c r="D9" s="8" t="n">
        <x:v>1024</x:v>
      </x:c>
      <x:c r="E9" s="9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28</x:v>
      </x:c>
      <x:c r="C10" s="8" t="n">
        <x:v>1024</x:v>
      </x:c>
      <x:c r="D10" s="8" t="n">
        <x:v>1024</x:v>
      </x:c>
      <x:c r="E10" s="9" t="n">
        <x:f>IF(OR(F10&lt;&gt;"да",COUNT(B10:D10)&lt;3),0,$B$4*(C10+D10)*B10)</x:f>
        <x:v>458752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28</x:v>
      </x:c>
      <x:c r="C11" s="8" t="n">
        <x:v>2048</x:v>
      </x:c>
      <x:c r="D11" s="8" t="n">
        <x:v>1024</x:v>
      </x:c>
      <x:c r="E11" s="9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28</x:v>
      </x:c>
      <x:c r="C13" s="8" t="n">
        <x:v>1024</x:v>
      </x:c>
      <x:c r="D13" s="8" t="n">
        <x:v>3072</x:v>
      </x:c>
      <x:c r="E13" s="9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28</x:v>
      </x:c>
      <x:c r="C14" s="8" t="n">
        <x:v>3072</x:v>
      </x:c>
      <x:c r="D14" s="8" t="n">
        <x:v>1024</x:v>
      </x:c>
      <x:c r="E14" s="9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15" t="n">
        <x:f>SUM(E8:E14)</x:f>
        <x:v>1146880</x:v>
      </x:c>
    </x:row>
    <x:row r="16">
      <x:c r="A16" s="14" t="inlineStr">
        <x:is>
          <x:t xml:space="preserve">что показал peft</x:t>
        </x:is>
      </x:c>
      <x:c r="E16" s="10" t="n">
        <x:v>1146880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>
      <x:c r="A19" s="14" t="inlineStr">
        <x:is>
          <x:t xml:space="preserve">параметров базовой модели</x:t>
        </x:is>
      </x:c>
      <x:c r="E19" s="10" t="n">
        <x:v>596049920</x:v>
      </x:c>
    </x:row>
    <x:row r="20">
      <x:c r="A20" s="14" t="inlineStr">
        <x:is>
          <x:t xml:space="preserve">доля обучаемых</x:t>
        </x:is>
      </x:c>
      <x:c r="E20" s="16" t="n">
        <x:f>IF(E19="","",E15/E19)</x:f>
        <x:v>0.0019241341396371632</x:v>
      </x:c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6.66999816894531" hidden="0" customWidth="1"/>
    <x:col min="2" max="2" width="34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inlineStr">
        <x:is>
          <x:t xml:space="preserve">пик, МБ</x:t>
        </x:is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18" t="n">
        <x:v>2221.6</x:v>
      </x:c>
      <x:c r="C5" s="19" t="n">
        <x:f>IF($B$5="","",B5/$B$5)</x:f>
        <x:v>1</x:v>
      </x:c>
      <x:c r="D5" s="20" t="n">
        <x:v>3.6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18" t="n">
        <x:v>6747.6</x:v>
      </x:c>
      <x:c r="C6" s="19" t="n">
        <x:f>IF($B$5="","",B6/$B$5)</x:f>
        <x:v>3.0372704357220024</x:v>
      </x:c>
      <x:c r="D6" s="20" t="n">
        <x:v>3.6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18" t="n">
        <x:v>3603.6</x:v>
      </x:c>
      <x:c r="C7" s="19" t="n">
        <x:f>IF($B$5="","",B7/$B$5)</x:f>
        <x:v>1.6220741807706158</x:v>
      </x:c>
      <x:c r="D7" s="20" t="n">
        <x:v>3.3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596049920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inlineStr">
        <x:is>
          <x:t xml:space="preserve">веса модели, МБ</x:t>
        </x:is>
      </x:c>
    </x:row>
    <x:row r="14">
      <x:c r="A14" s="21" t="n"/>
      <x:c r="B14" s="9" t="n">
        <x:f>IF(COUNT(B10:B11)&lt;2,"",B10*B11/1048576)</x:f>
        <x:v>1136.875</x:v>
      </x:c>
    </x:row>
    <x:row r="16">
      <x:c r="A16" s="14" t="inlineStr">
        <x:is>
          <x:t xml:space="preserve">Условия замера — без них числа ничего не значат</x:t>
        </x:is>
      </x:c>
    </x:row>
    <x:row r="17">
      <x:c r="A17" s="17" t="inlineStr">
        <x:is>
          <x:t xml:space="preserve">устройство (cpu / cuda / mps)</x:t>
        </x:is>
      </x:c>
      <x:c r="B17" s="22" t="str">
        <x:v>mps</x:v>
      </x:c>
    </x:row>
    <x:row r="18">
      <x:c r="A18" s="17" t="inlineStr">
        <x:is>
          <x:t xml:space="preserve">чем меряли память</x:t>
        </x:is>
      </x:c>
      <x:c r="B18" s="22" t="str">
        <x:v>torch.mps.driver_allocated_memory</x:v>
      </x:c>
    </x:row>
    <x:row r="19">
      <x:c r="A19" s="17" t="inlineStr">
        <x:is>
          <x:t xml:space="preserve">dtype</x:t>
        </x:is>
      </x:c>
      <x:c r="B19" s="22" t="str">
        <x:v>bfloat16</x:v>
      </x:c>
    </x:row>
    <x:row r="20">
      <x:c r="A20" s="17" t="inlineStr">
        <x:is>
          <x:t xml:space="preserve">seq_len</x:t>
        </x:is>
      </x:c>
      <x:c r="B20" s="22" t="n">
        <x:v>256</x:v>
      </x:c>
    </x:row>
    <x:row r="21">
      <x:c r="A21" s="17" t="inlineStr">
        <x:is>
          <x:t xml:space="preserve">batch_size</x:t>
        </x:is>
      </x:c>
      <x:c r="B21" s="22" t="n">
        <x:v>1</x:v>
      </x:c>
    </x:row>
    <x:row r="22">
      <x:c r="A22" s="17" t="inlineStr">
        <x:is>
          <x:t xml:space="preserve">сколько раз повторяли замер</x:t>
        </x:is>
      </x:c>
      <x:c r="B22" s="22" t="n">
        <x:v>1</x:v>
      </x:c>
    </x:row>
    <x:row r="23">
      <x:c r="A23" s="17" t="inlineStr">
        <x:is>
          <x:t xml:space="preserve">что именно в шаге (forward / +backward / +optimizer)</x:t>
        </x:is>
      </x:c>
      <x:c r="B23" s="22" t="str">
        <x:v>инференс: forward; full FT: forward + backward + AdamW; LoRA: те же операции только для адаптеров</x:v>
      </x:c>
    </x:row>
    <x:row r="24">
      <x:c r="A24" s="17" t="inlineStr">
        <x:is>
          <x:t xml:space="preserve">модель</x:t>
        </x:is>
      </x:c>
      <x:c r="B24" s="22" t="str">
        <x:v>Qwen/Qwen3-0.6B</x:v>
      </x:c>
    </x:row>
  </x:sheetData>
  <x:mergeCells>
    <x:mergeCell ref="A13:A1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58" customHeight="1">
      <x:c r="A5" s="14" t="n">
        <x:v>1</x:v>
      </x:c>
      <x:c r="B5" s="23" t="inlineStr">
        <x:is>
          <x:t xml:space="preserve">Почему lm_head в вашей таблице весит столько, сколько весит?</x:t>
        </x:is>
      </x:c>
      <x:c r="C5" s="24" t="str">
        <x:v>lm_head имеет 0 собственных параметров: при tie_word_embeddings=True он использует тот же тензор 151936×1024, что и embed_tokens. Повторный учёт добавил бы лишние 155582464 параметра.</x:v>
      </x:c>
    </x:row>
    <x:row r="6" ht="58" customHeight="1">
      <x:c r="A6" s="14" t="n">
        <x:v>2</x:v>
      </x:c>
      <x:c r="B6" s="23" t="inlineStr">
        <x:is>
          <x:t xml:space="preserve">Почему k_proj вдвое меньше q_proj?</x:t>
        </x:is>
      </x:c>
      <x:c r="C6" s="24" t="str">
        <x:v>В GQA у модели 16 голов запросов, но только 8 KV-голов. Поэтому q_proj выдаёт 2048 признаков, а k_proj — 1024 и содержит вдвое меньше параметров.</x:v>
      </x:c>
    </x:row>
    <x:row r="7" ht="58" customHeight="1">
      <x:c r="A7" s="14" t="n">
        <x:v>3</x:v>
      </x:c>
      <x:c r="B7" s="23" t="inlineStr">
        <x:is>
          <x:t xml:space="preserve">Почему MLP занимает большую долю модели, чем всё внимание вместе?</x:t>
        </x:is>
      </x:c>
      <x:c r="C7" s="24" t="str">
        <x:v>В каждом из 28 блоков MLP содержит три большие проекции через размер 3072. Они занимают 264241152 параметра (44,3% модели), тогда как все проекции внимания — 176160768 (29,6%).</x:v>
      </x:c>
    </x:row>
    <x:row r="8" ht="58" customHeight="1">
      <x:c r="A8" s="14" t="n">
        <x:v>4</x:v>
      </x:c>
      <x:c r="B8" s="23" t="inlineStr">
        <x:is>
          <x:t xml:space="preserve">Почему при 0,192% обучаемых параметров LoRA экономит намного больше памяти, чем 0,192%?</x:t>
        </x:is>
      </x:c>
      <x:c r="C8" s="24" t="str">
        <x:v>LoRA убирает градиенты и два состояния AdamW почти для всех базовых весов, но сами веса и активации всё равно остаются в памяти. Поэтому пик снизился с 6747,6 МБ у full FT до 3603,6 МБ, а не на 0,192%.</x:v>
      </x:c>
    </x:row>
    <x:row r="9" ht="58" customHeight="1">
      <x:c r="A9" s="14" t="n">
        <x:v>5</x:v>
      </x:c>
      <x:c r="B9" s="23" t="inlineStr">
        <x:is>
          <x:t xml:space="preserve">Ваша метрика памяти — какая и почему именно она подходит вашему устройству?</x:t>
        </x:is>
      </x:c>
      <x:c r="C9" s="24" t="str">
        <x:v>Использована torch.mps.driver_allocated_memory, потому что тензоры находятся в буферах Metal на MPS. RSS процесса видит их лишь частично и не показывает реальный расход памяти ускорителя.</x:v>
      </x:c>
    </x:row>
  </x:sheetData>
  <x:pageMargins left="0.7" right="0.7" top="0.75" bottom="0.75" header="0.3" footer="0.3"/>
</x:worksheet>
</file>